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Scenáre" sheetId="2" state="visible" r:id="rId4"/>
    <sheet name="Poznámk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<sst xmlns="http://schemas.openxmlformats.org/spreadsheetml/2006/main" count="71" uniqueCount="68">
  <si>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Synced – finančný model (výnosy, náklady, bod zvratu)</t>
  </si>
  <si>
    <t xml:space="preserve">Žlté bunky = uprav si (modrý text = vstup). Čierne = vzorce, prepočítajú sa samy. Sumy sú ilustračné, nie prísľub.</t>
  </si>
  <si>
    <t xml:space="preserve">  VSTUPY – appka</t>
  </si>
  <si>
    <t xml:space="preserve">  VSTUPY – náklady (€/mes)</t>
  </si>
  <si>
    <t xml:space="preserve">Štartoví aktívni používatelia (mes. 1 po launchi)</t>
  </si>
  <si>
    <t xml:space="preserve">Zdravotný preddavok (SZČO 2026)</t>
  </si>
  <si>
    <t xml:space="preserve">Medzimesačný rast</t>
  </si>
  <si>
    <t xml:space="preserve">Backend (Supabase Pro)</t>
  </si>
  <si>
    <t xml:space="preserve">Strop aktívnych (cap)</t>
  </si>
  <si>
    <t xml:space="preserve">Video (Daily.co)</t>
  </si>
  <si>
    <t xml:space="preserve">Konverzia na platiacich</t>
  </si>
  <si>
    <t xml:space="preserve">Doména</t>
  </si>
  <si>
    <t xml:space="preserve">Priemerný príjem na platiaceho / mes</t>
  </si>
  <si>
    <t xml:space="preserve">Marketing</t>
  </si>
  <si>
    <t xml:space="preserve">B2B: klientov / workshopov za mesiac</t>
  </si>
  <si>
    <t xml:space="preserve">Ostatné (nástroje, rezerva)</t>
  </si>
  <si>
    <t xml:space="preserve">B2B: priemerný príjem na klienta</t>
  </si>
  <si>
    <t xml:space="preserve">Náklady spolu (€/mes)</t>
  </si>
  <si>
    <t xml:space="preserve">  12-mesačná projekcia (po launchi)</t>
  </si>
  <si>
    <t xml:space="preserve">Mesiac</t>
  </si>
  <si>
    <t xml:space="preserve">Aktívni</t>
  </si>
  <si>
    <t xml:space="preserve">Platiaci</t>
  </si>
  <si>
    <t xml:space="preserve">Príjem appka</t>
  </si>
  <si>
    <t xml:space="preserve">Príjem B2B</t>
  </si>
  <si>
    <t xml:space="preserve">Príjem spolu</t>
  </si>
  <si>
    <t xml:space="preserve">Náklady</t>
  </si>
  <si>
    <t xml:space="preserve">Hrubý zisk</t>
  </si>
  <si>
    <t xml:space="preserve">Kumul. zisk</t>
  </si>
  <si>
    <t xml:space="preserve">Ziskový?</t>
  </si>
  <si>
    <t xml:space="preserve">  Súhrn</t>
  </si>
  <si>
    <t xml:space="preserve">Príjem @ mesiac 12 (€/mes)</t>
  </si>
  <si>
    <t xml:space="preserve">Hrubý zisk @ mesiac 12 (€/mes)</t>
  </si>
  <si>
    <t xml:space="preserve">Prvý ziskový mesiac</t>
  </si>
  <si>
    <t xml:space="preserve">Kumulatívny zisk za 12 mes. (€)</t>
  </si>
  <si>
    <t xml:space="preserve">Scenáre (stav ~12 mes. po launchi)</t>
  </si>
  <si>
    <t xml:space="preserve">Žlté = vstupy. Meň ich a porovnaj tri scenáre. Ilustračné.</t>
  </si>
  <si>
    <t xml:space="preserve">Predpoklad</t>
  </si>
  <si>
    <t xml:space="preserve">Konzervatívny</t>
  </si>
  <si>
    <t xml:space="preserve">Bázový</t>
  </si>
  <si>
    <t xml:space="preserve">Optimistický</t>
  </si>
  <si>
    <t xml:space="preserve">Štartoví aktívni (mes. 1)</t>
  </si>
  <si>
    <t xml:space="preserve">Príjem na platiaceho / mes</t>
  </si>
  <si>
    <t xml:space="preserve">B2B klientov / mes</t>
  </si>
  <si>
    <t xml:space="preserve">B2B príjem / klient</t>
  </si>
  <si>
    <t xml:space="preserve">Mesačné náklady</t>
  </si>
  <si>
    <t xml:space="preserve">Aktívni @ mes. 12</t>
  </si>
  <si>
    <t xml:space="preserve">Platiaci @ mes. 12</t>
  </si>
  <si>
    <t xml:space="preserve">Príjem appka / mes</t>
  </si>
  <si>
    <t xml:space="preserve">Príjem B2B / mes</t>
  </si>
  <si>
    <t xml:space="preserve">Príjem spolu / mes</t>
  </si>
  <si>
    <t xml:space="preserve">Náklady / mes</t>
  </si>
  <si>
    <t xml:space="preserve">Hrubý zisk / mes</t>
  </si>
  <si>
    <t xml:space="preserve">Ako používať model</t>
  </si>
  <si>
    <t xml:space="preserve">• Uprav žlté bunky na hárkoch Model a Scenáre. Všetko ostatné sa prepočíta samo.</t>
  </si>
  <si>
    <t xml:space="preserve">• Hárok Model ukazuje 12 mesiacov po launchi a bod zvratu (prvý ziskový mesiac).</t>
  </si>
  <si>
    <t xml:space="preserve">• Hárok Scenáre porovnáva konzervatívny / bázový / optimistický stav ~po roku.</t>
  </si>
  <si>
    <t xml:space="preserve">Kľúčové predpoklady (uprav podľa reality)</t>
  </si>
  <si>
    <t xml:space="preserve">• Príjem = aktívni × konverzia × priemerný príjem na platiaceho + B2B.</t>
  </si>
  <si>
    <t xml:space="preserve">• Blended príjem/platiaci ~8–10 € = mix Premium (12,99 €/mes) a jednorazových nákupov (2,99–3,99 €).</t>
  </si>
  <si>
    <t xml:space="preserve">• Náklady sú prevažne fixné; najväčšia položka je zdravotný preddavok SZČO.</t>
  </si>
  <si>
    <t xml:space="preserve">• Reálny príjem začína až pri verejnom launchi (Stripe live) – dovtedy 0 € (zámerne).</t>
  </si>
  <si>
    <t xml:space="preserve">Dôležité upozornenie</t>
  </si>
  <si>
    <t xml:space="preserve">Nie som účtovník ani daňový/finančný poradca. Čísla sú ilustračné a slúžia na plánovanie,</t>
  </si>
  <si>
    <t xml:space="preserve">nie ako prísľub výnosov. Odvody a dane pre 2026 over s účtovníkom (menia sa každý rok).</t>
  </si>
  <si>
    <t xml:space="preserve">Zdroje</t>
  </si>
  <si>
    <t xml:space="preserve">Odvody SZČO 2026: https://www.podnikajte.sk/socialne-a-zdravotne-odvody/odvody-szco-zivnostnikov-od-1-1-2026</t>
  </si>
  <si>
    <t xml:space="preserve">Založenie živnosti 2026: https://www.podnikajte.sk/zivnost/zalozenie-zivnosti-2026</t>
  </si>
  <si>
    <t xml:space="preserve">Trh a ceny konkurencie: viď Podnikateľský plán, kap. 12 (Zdroje).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</si>
</sst>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&quot; €&quot;"/>
    <numFmt numFmtId="167" formatCode="0.0%"/>
    <numFmt numFmtId="168" formatCode="#,##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24A8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4A2A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B24A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2568F"/>
        <bgColor rgb="FFB24A80"/>
      </patternFill>
    </fill>
    <fill>
      <patternFill patternType="solid">
        <fgColor rgb="FFFFF2CC"/>
        <bgColor rgb="FFFDEBF3"/>
      </patternFill>
    </fill>
    <fill>
      <patternFill patternType="solid">
        <fgColor rgb="FFFDEBF3"/>
        <bgColor rgb="FFF6EEF3"/>
      </patternFill>
    </fill>
    <fill>
      <patternFill patternType="solid">
        <fgColor rgb="FFF6EEF3"/>
        <bgColor rgb="FFFDEB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CBD9"/>
      </left>
      <right style="thin">
        <color rgb="FFE4CBD9"/>
      </right>
      <top style="thin">
        <color rgb="FFE4CBD9"/>
      </top>
      <bottom style="thin">
        <color rgb="FFE4CB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CBD9"/>
      <rgbColor rgb="FF878787"/>
      <rgbColor rgb="FF9999FF"/>
      <rgbColor rgb="FFB24A80"/>
      <rgbColor rgb="FFFFF2CC"/>
      <rgbColor rgb="FFF6EEF3"/>
      <rgbColor rgb="FF660066"/>
      <rgbColor rgb="FFC2568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BF3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BE4B48"/>
      <rgbColor rgb="FF333399"/>
      <rgbColor rgb="FF4A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Príjem vs náklady vs kumulatívny zisk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Model!F14</c:f>
              <c:strCache>
                <c:ptCount val="1"/>
                <c:pt idx="0">
                  <c:v>Príjem spolu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Model!$A$15:$A$26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Model!$F$15:$F$26</c:f>
              <c:numCache>
                <c:formatCode>#,##0" €"</c:formatCode>
                <c:ptCount val="12"/>
                <c:pt idx="0">
                  <c:v>435</c:v>
                </c:pt>
                <c:pt idx="1">
                  <c:v>468.75</c:v>
                </c:pt>
                <c:pt idx="2">
                  <c:v>510.9375</c:v>
                </c:pt>
                <c:pt idx="3">
                  <c:v>563.671875</c:v>
                </c:pt>
                <c:pt idx="4">
                  <c:v>629.58984375</c:v>
                </c:pt>
                <c:pt idx="5">
                  <c:v>711.9873046875</c:v>
                </c:pt>
                <c:pt idx="6">
                  <c:v>814.984130859375</c:v>
                </c:pt>
                <c:pt idx="7">
                  <c:v>943.730163574219</c:v>
                </c:pt>
                <c:pt idx="8">
                  <c:v>1104.66270446777</c:v>
                </c:pt>
                <c:pt idx="9">
                  <c:v>1305.82838058472</c:v>
                </c:pt>
                <c:pt idx="10">
                  <c:v>1557.2854757309</c:v>
                </c:pt>
                <c:pt idx="11">
                  <c:v>1871.60684466362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Model!G14</c:f>
              <c:strCache>
                <c:ptCount val="1"/>
                <c:pt idx="0">
                  <c:v>Náklady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Model!$A$15:$A$26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Model!$G$15:$G$26</c:f>
              <c:numCache>
                <c:formatCode>#,##0" €"</c:formatCode>
                <c:ptCount val="12"/>
                <c:pt idx="0">
                  <c:v>177.92</c:v>
                </c:pt>
                <c:pt idx="1">
                  <c:v>177.92</c:v>
                </c:pt>
                <c:pt idx="2">
                  <c:v>177.92</c:v>
                </c:pt>
                <c:pt idx="3">
                  <c:v>177.92</c:v>
                </c:pt>
                <c:pt idx="4">
                  <c:v>177.92</c:v>
                </c:pt>
                <c:pt idx="5">
                  <c:v>177.92</c:v>
                </c:pt>
                <c:pt idx="6">
                  <c:v>177.92</c:v>
                </c:pt>
                <c:pt idx="7">
                  <c:v>177.92</c:v>
                </c:pt>
                <c:pt idx="8">
                  <c:v>177.92</c:v>
                </c:pt>
                <c:pt idx="9">
                  <c:v>177.92</c:v>
                </c:pt>
                <c:pt idx="10">
                  <c:v>177.92</c:v>
                </c:pt>
                <c:pt idx="11">
                  <c:v>177.92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Model!I14</c:f>
              <c:strCache>
                <c:ptCount val="1"/>
                <c:pt idx="0">
                  <c:v>Kumul. zisk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Model!$A$15:$A$26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Model!$I$15:$I$26</c:f>
              <c:numCache>
                <c:formatCode>#,##0" €"</c:formatCode>
                <c:ptCount val="12"/>
                <c:pt idx="0">
                  <c:v>257.08</c:v>
                </c:pt>
                <c:pt idx="1">
                  <c:v>547.91</c:v>
                </c:pt>
                <c:pt idx="2">
                  <c:v>880.9275</c:v>
                </c:pt>
                <c:pt idx="3">
                  <c:v>1266.679375</c:v>
                </c:pt>
                <c:pt idx="4">
                  <c:v>1718.34921875</c:v>
                </c:pt>
                <c:pt idx="5">
                  <c:v>2252.4165234375</c:v>
                </c:pt>
                <c:pt idx="6">
                  <c:v>2889.48065429687</c:v>
                </c:pt>
                <c:pt idx="7">
                  <c:v>3655.29081787109</c:v>
                </c:pt>
                <c:pt idx="8">
                  <c:v>4582.03352233887</c:v>
                </c:pt>
                <c:pt idx="9">
                  <c:v>5709.94190292358</c:v>
                </c:pt>
                <c:pt idx="10">
                  <c:v>7089.30737865448</c:v>
                </c:pt>
                <c:pt idx="11">
                  <c:v>8782.9942233181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090851"/>
        <c:axId val="31655930"/>
      </c:lineChart>
      <c:catAx>
        <c:axId val="53090851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55930"/>
        <c:crosses val="autoZero"/>
        <c:auto val="1"/>
        <c:lblAlgn val="ctr"/>
        <c:lblOffset val="100"/>
        <c:noMultiLvlLbl val="0"/>
      </c:catAx>
      <c:valAx>
        <c:axId val="31655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908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27</xdr:row>
      <xdr:rowOff>131040</xdr:rowOff>
    </xdr:from>
    <xdr:to>
      <xdr:col>10</xdr:col>
      <xdr:colOff>199080</xdr:colOff>
      <xdr:row>42</xdr:row>
      <xdr:rowOff>153000</xdr:rowOff>
    </xdr:to>
    <xdr:graphicFrame>
      <xdr:nvGraphicFramePr>
        <xdr:cNvPr id="0" name="Chart 1"/>
        <xdr:cNvGraphicFramePr/>
      </xdr:nvGraphicFramePr>
      <xdr:xfrm>
        <a:off x="4793040" y="5334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9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E4" s="3" t="s">
        <v>3</v>
      </c>
      <c r="F4" s="3"/>
    </row>
    <row r="5" customFormat="false" ht="15" hidden="false" customHeight="false" outlineLevel="0" collapsed="false">
      <c r="A5" s="4" t="s">
        <v>4</v>
      </c>
      <c r="C5" s="5" t="n">
        <v>500</v>
      </c>
      <c r="E5" s="4" t="s">
        <v>5</v>
      </c>
      <c r="F5" s="6" t="n">
        <v>121.92</v>
      </c>
    </row>
    <row r="6" customFormat="false" ht="15" hidden="false" customHeight="false" outlineLevel="0" collapsed="false">
      <c r="A6" s="4" t="s">
        <v>6</v>
      </c>
      <c r="C6" s="7" t="n">
        <v>0.25</v>
      </c>
      <c r="E6" s="4" t="s">
        <v>7</v>
      </c>
      <c r="F6" s="6" t="n">
        <v>25</v>
      </c>
    </row>
    <row r="7" customFormat="false" ht="15" hidden="false" customHeight="false" outlineLevel="0" collapsed="false">
      <c r="A7" s="4" t="s">
        <v>8</v>
      </c>
      <c r="C7" s="5" t="n">
        <v>8000</v>
      </c>
      <c r="E7" s="4" t="s">
        <v>9</v>
      </c>
      <c r="F7" s="6" t="n">
        <v>10</v>
      </c>
    </row>
    <row r="8" customFormat="false" ht="15" hidden="false" customHeight="false" outlineLevel="0" collapsed="false">
      <c r="A8" s="4" t="s">
        <v>10</v>
      </c>
      <c r="C8" s="7" t="n">
        <v>0.03</v>
      </c>
      <c r="E8" s="4" t="s">
        <v>11</v>
      </c>
      <c r="F8" s="6" t="n">
        <v>1</v>
      </c>
    </row>
    <row r="9" customFormat="false" ht="15" hidden="false" customHeight="false" outlineLevel="0" collapsed="false">
      <c r="A9" s="4" t="s">
        <v>12</v>
      </c>
      <c r="C9" s="8" t="n">
        <v>9</v>
      </c>
      <c r="E9" s="4" t="s">
        <v>13</v>
      </c>
      <c r="F9" s="6" t="n">
        <v>0</v>
      </c>
    </row>
    <row r="10" customFormat="false" ht="15" hidden="false" customHeight="false" outlineLevel="0" collapsed="false">
      <c r="A10" s="4" t="s">
        <v>14</v>
      </c>
      <c r="C10" s="5" t="n">
        <v>1</v>
      </c>
      <c r="E10" s="4" t="s">
        <v>15</v>
      </c>
      <c r="F10" s="6" t="n">
        <v>20</v>
      </c>
    </row>
    <row r="11" customFormat="false" ht="15" hidden="false" customHeight="false" outlineLevel="0" collapsed="false">
      <c r="A11" s="4" t="s">
        <v>16</v>
      </c>
      <c r="C11" s="8" t="n">
        <v>300</v>
      </c>
      <c r="E11" s="9" t="s">
        <v>17</v>
      </c>
      <c r="F11" s="10" t="n">
        <f aca="false">SUM(F5:F10)</f>
        <v>177.92</v>
      </c>
    </row>
    <row r="13" customFormat="false" ht="15" hidden="false" customHeight="false" outlineLevel="0" collapsed="false">
      <c r="A13" s="3" t="s">
        <v>18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11" t="s">
        <v>19</v>
      </c>
      <c r="B14" s="11" t="s">
        <v>20</v>
      </c>
      <c r="C14" s="11" t="s">
        <v>21</v>
      </c>
      <c r="D14" s="11" t="s">
        <v>22</v>
      </c>
      <c r="E14" s="11" t="s">
        <v>23</v>
      </c>
      <c r="F14" s="11" t="s">
        <v>24</v>
      </c>
      <c r="G14" s="11" t="s">
        <v>25</v>
      </c>
      <c r="H14" s="11" t="s">
        <v>26</v>
      </c>
      <c r="I14" s="11" t="s">
        <v>27</v>
      </c>
      <c r="J14" s="11" t="s">
        <v>28</v>
      </c>
    </row>
    <row r="15" customFormat="false" ht="15" hidden="false" customHeight="false" outlineLevel="0" collapsed="false">
      <c r="A15" s="12" t="n">
        <v>1</v>
      </c>
      <c r="B15" s="13" t="n">
        <f aca="false">$C$5</f>
        <v>500</v>
      </c>
      <c r="C15" s="13" t="n">
        <f aca="false">B15*$C$8</f>
        <v>15</v>
      </c>
      <c r="D15" s="14" t="n">
        <f aca="false">C15*$C$9</f>
        <v>135</v>
      </c>
      <c r="E15" s="14" t="n">
        <f aca="false">$C$10*$C$11</f>
        <v>300</v>
      </c>
      <c r="F15" s="14" t="n">
        <f aca="false">D15+E15</f>
        <v>435</v>
      </c>
      <c r="G15" s="14" t="n">
        <f aca="false">$F$11</f>
        <v>177.92</v>
      </c>
      <c r="H15" s="15" t="n">
        <f aca="false">F15-G15</f>
        <v>257.08</v>
      </c>
      <c r="I15" s="14" t="n">
        <f aca="false">H15</f>
        <v>257.08</v>
      </c>
      <c r="J15" s="12" t="n">
        <f aca="false">IF(H15&gt;0,1,0)</f>
        <v>1</v>
      </c>
    </row>
    <row r="16" customFormat="false" ht="15" hidden="false" customHeight="false" outlineLevel="0" collapsed="false">
      <c r="A16" s="12" t="n">
        <f aca="false">A15+1</f>
        <v>2</v>
      </c>
      <c r="B16" s="13" t="n">
        <f aca="false">MIN($C$7,B15*(1+$C$6))</f>
        <v>625</v>
      </c>
      <c r="C16" s="13" t="n">
        <f aca="false">B16*$C$8</f>
        <v>18.75</v>
      </c>
      <c r="D16" s="14" t="n">
        <f aca="false">C16*$C$9</f>
        <v>168.75</v>
      </c>
      <c r="E16" s="14" t="n">
        <f aca="false">$C$10*$C$11</f>
        <v>300</v>
      </c>
      <c r="F16" s="14" t="n">
        <f aca="false">D16+E16</f>
        <v>468.75</v>
      </c>
      <c r="G16" s="14" t="n">
        <f aca="false">$F$11</f>
        <v>177.92</v>
      </c>
      <c r="H16" s="15" t="n">
        <f aca="false">F16-G16</f>
        <v>290.83</v>
      </c>
      <c r="I16" s="14" t="n">
        <f aca="false">I15+H16</f>
        <v>547.91</v>
      </c>
      <c r="J16" s="12" t="n">
        <f aca="false">IF(H16&gt;0,1,0)</f>
        <v>1</v>
      </c>
    </row>
    <row r="17" customFormat="false" ht="15" hidden="false" customHeight="false" outlineLevel="0" collapsed="false">
      <c r="A17" s="12" t="n">
        <f aca="false">A16+1</f>
        <v>3</v>
      </c>
      <c r="B17" s="13" t="n">
        <f aca="false">MIN($C$7,B16*(1+$C$6))</f>
        <v>781.25</v>
      </c>
      <c r="C17" s="13" t="n">
        <f aca="false">B17*$C$8</f>
        <v>23.4375</v>
      </c>
      <c r="D17" s="14" t="n">
        <f aca="false">C17*$C$9</f>
        <v>210.9375</v>
      </c>
      <c r="E17" s="14" t="n">
        <f aca="false">$C$10*$C$11</f>
        <v>300</v>
      </c>
      <c r="F17" s="14" t="n">
        <f aca="false">D17+E17</f>
        <v>510.9375</v>
      </c>
      <c r="G17" s="14" t="n">
        <f aca="false">$F$11</f>
        <v>177.92</v>
      </c>
      <c r="H17" s="15" t="n">
        <f aca="false">F17-G17</f>
        <v>333.0175</v>
      </c>
      <c r="I17" s="14" t="n">
        <f aca="false">I16+H17</f>
        <v>880.9275</v>
      </c>
      <c r="J17" s="12" t="n">
        <f aca="false">IF(H17&gt;0,1,0)</f>
        <v>1</v>
      </c>
    </row>
    <row r="18" customFormat="false" ht="15" hidden="false" customHeight="false" outlineLevel="0" collapsed="false">
      <c r="A18" s="12" t="n">
        <f aca="false">A17+1</f>
        <v>4</v>
      </c>
      <c r="B18" s="13" t="n">
        <f aca="false">MIN($C$7,B17*(1+$C$6))</f>
        <v>976.5625</v>
      </c>
      <c r="C18" s="13" t="n">
        <f aca="false">B18*$C$8</f>
        <v>29.296875</v>
      </c>
      <c r="D18" s="14" t="n">
        <f aca="false">C18*$C$9</f>
        <v>263.671875</v>
      </c>
      <c r="E18" s="14" t="n">
        <f aca="false">$C$10*$C$11</f>
        <v>300</v>
      </c>
      <c r="F18" s="14" t="n">
        <f aca="false">D18+E18</f>
        <v>563.671875</v>
      </c>
      <c r="G18" s="14" t="n">
        <f aca="false">$F$11</f>
        <v>177.92</v>
      </c>
      <c r="H18" s="15" t="n">
        <f aca="false">F18-G18</f>
        <v>385.751875</v>
      </c>
      <c r="I18" s="14" t="n">
        <f aca="false">I17+H18</f>
        <v>1266.679375</v>
      </c>
      <c r="J18" s="12" t="n">
        <f aca="false">IF(H18&gt;0,1,0)</f>
        <v>1</v>
      </c>
    </row>
    <row r="19" customFormat="false" ht="15" hidden="false" customHeight="false" outlineLevel="0" collapsed="false">
      <c r="A19" s="12" t="n">
        <f aca="false">A18+1</f>
        <v>5</v>
      </c>
      <c r="B19" s="13" t="n">
        <f aca="false">MIN($C$7,B18*(1+$C$6))</f>
        <v>1220.703125</v>
      </c>
      <c r="C19" s="13" t="n">
        <f aca="false">B19*$C$8</f>
        <v>36.62109375</v>
      </c>
      <c r="D19" s="14" t="n">
        <f aca="false">C19*$C$9</f>
        <v>329.58984375</v>
      </c>
      <c r="E19" s="14" t="n">
        <f aca="false">$C$10*$C$11</f>
        <v>300</v>
      </c>
      <c r="F19" s="14" t="n">
        <f aca="false">D19+E19</f>
        <v>629.58984375</v>
      </c>
      <c r="G19" s="14" t="n">
        <f aca="false">$F$11</f>
        <v>177.92</v>
      </c>
      <c r="H19" s="15" t="n">
        <f aca="false">F19-G19</f>
        <v>451.66984375</v>
      </c>
      <c r="I19" s="14" t="n">
        <f aca="false">I18+H19</f>
        <v>1718.34921875</v>
      </c>
      <c r="J19" s="12" t="n">
        <f aca="false">IF(H19&gt;0,1,0)</f>
        <v>1</v>
      </c>
    </row>
    <row r="20" customFormat="false" ht="15" hidden="false" customHeight="false" outlineLevel="0" collapsed="false">
      <c r="A20" s="12" t="n">
        <f aca="false">A19+1</f>
        <v>6</v>
      </c>
      <c r="B20" s="13" t="n">
        <f aca="false">MIN($C$7,B19*(1+$C$6))</f>
        <v>1525.87890625</v>
      </c>
      <c r="C20" s="13" t="n">
        <f aca="false">B20*$C$8</f>
        <v>45.7763671875</v>
      </c>
      <c r="D20" s="14" t="n">
        <f aca="false">C20*$C$9</f>
        <v>411.9873046875</v>
      </c>
      <c r="E20" s="14" t="n">
        <f aca="false">$C$10*$C$11</f>
        <v>300</v>
      </c>
      <c r="F20" s="14" t="n">
        <f aca="false">D20+E20</f>
        <v>711.9873046875</v>
      </c>
      <c r="G20" s="14" t="n">
        <f aca="false">$F$11</f>
        <v>177.92</v>
      </c>
      <c r="H20" s="15" t="n">
        <f aca="false">F20-G20</f>
        <v>534.0673046875</v>
      </c>
      <c r="I20" s="14" t="n">
        <f aca="false">I19+H20</f>
        <v>2252.4165234375</v>
      </c>
      <c r="J20" s="12" t="n">
        <f aca="false">IF(H20&gt;0,1,0)</f>
        <v>1</v>
      </c>
    </row>
    <row r="21" customFormat="false" ht="15" hidden="false" customHeight="false" outlineLevel="0" collapsed="false">
      <c r="A21" s="12" t="n">
        <f aca="false">A20+1</f>
        <v>7</v>
      </c>
      <c r="B21" s="13" t="n">
        <f aca="false">MIN($C$7,B20*(1+$C$6))</f>
        <v>1907.3486328125</v>
      </c>
      <c r="C21" s="13" t="n">
        <f aca="false">B21*$C$8</f>
        <v>57.220458984375</v>
      </c>
      <c r="D21" s="14" t="n">
        <f aca="false">C21*$C$9</f>
        <v>514.984130859375</v>
      </c>
      <c r="E21" s="14" t="n">
        <f aca="false">$C$10*$C$11</f>
        <v>300</v>
      </c>
      <c r="F21" s="14" t="n">
        <f aca="false">D21+E21</f>
        <v>814.984130859375</v>
      </c>
      <c r="G21" s="14" t="n">
        <f aca="false">$F$11</f>
        <v>177.92</v>
      </c>
      <c r="H21" s="15" t="n">
        <f aca="false">F21-G21</f>
        <v>637.064130859375</v>
      </c>
      <c r="I21" s="14" t="n">
        <f aca="false">I20+H21</f>
        <v>2889.48065429687</v>
      </c>
      <c r="J21" s="12" t="n">
        <f aca="false">IF(H21&gt;0,1,0)</f>
        <v>1</v>
      </c>
    </row>
    <row r="22" customFormat="false" ht="15" hidden="false" customHeight="false" outlineLevel="0" collapsed="false">
      <c r="A22" s="12" t="n">
        <f aca="false">A21+1</f>
        <v>8</v>
      </c>
      <c r="B22" s="13" t="n">
        <f aca="false">MIN($C$7,B21*(1+$C$6))</f>
        <v>2384.18579101563</v>
      </c>
      <c r="C22" s="13" t="n">
        <f aca="false">B22*$C$8</f>
        <v>71.5255737304688</v>
      </c>
      <c r="D22" s="14" t="n">
        <f aca="false">C22*$C$9</f>
        <v>643.730163574219</v>
      </c>
      <c r="E22" s="14" t="n">
        <f aca="false">$C$10*$C$11</f>
        <v>300</v>
      </c>
      <c r="F22" s="14" t="n">
        <f aca="false">D22+E22</f>
        <v>943.730163574219</v>
      </c>
      <c r="G22" s="14" t="n">
        <f aca="false">$F$11</f>
        <v>177.92</v>
      </c>
      <c r="H22" s="15" t="n">
        <f aca="false">F22-G22</f>
        <v>765.810163574219</v>
      </c>
      <c r="I22" s="14" t="n">
        <f aca="false">I21+H22</f>
        <v>3655.29081787109</v>
      </c>
      <c r="J22" s="12" t="n">
        <f aca="false">IF(H22&gt;0,1,0)</f>
        <v>1</v>
      </c>
    </row>
    <row r="23" customFormat="false" ht="15" hidden="false" customHeight="false" outlineLevel="0" collapsed="false">
      <c r="A23" s="12" t="n">
        <f aca="false">A22+1</f>
        <v>9</v>
      </c>
      <c r="B23" s="13" t="n">
        <f aca="false">MIN($C$7,B22*(1+$C$6))</f>
        <v>2980.23223876953</v>
      </c>
      <c r="C23" s="13" t="n">
        <f aca="false">B23*$C$8</f>
        <v>89.4069671630859</v>
      </c>
      <c r="D23" s="14" t="n">
        <f aca="false">C23*$C$9</f>
        <v>804.662704467773</v>
      </c>
      <c r="E23" s="14" t="n">
        <f aca="false">$C$10*$C$11</f>
        <v>300</v>
      </c>
      <c r="F23" s="14" t="n">
        <f aca="false">D23+E23</f>
        <v>1104.66270446777</v>
      </c>
      <c r="G23" s="14" t="n">
        <f aca="false">$F$11</f>
        <v>177.92</v>
      </c>
      <c r="H23" s="15" t="n">
        <f aca="false">F23-G23</f>
        <v>926.742704467773</v>
      </c>
      <c r="I23" s="14" t="n">
        <f aca="false">I22+H23</f>
        <v>4582.03352233887</v>
      </c>
      <c r="J23" s="12" t="n">
        <f aca="false">IF(H23&gt;0,1,0)</f>
        <v>1</v>
      </c>
    </row>
    <row r="24" customFormat="false" ht="15" hidden="false" customHeight="false" outlineLevel="0" collapsed="false">
      <c r="A24" s="12" t="n">
        <f aca="false">A23+1</f>
        <v>10</v>
      </c>
      <c r="B24" s="13" t="n">
        <f aca="false">MIN($C$7,B23*(1+$C$6))</f>
        <v>3725.29029846191</v>
      </c>
      <c r="C24" s="13" t="n">
        <f aca="false">B24*$C$8</f>
        <v>111.758708953857</v>
      </c>
      <c r="D24" s="14" t="n">
        <f aca="false">C24*$C$9</f>
        <v>1005.82838058472</v>
      </c>
      <c r="E24" s="14" t="n">
        <f aca="false">$C$10*$C$11</f>
        <v>300</v>
      </c>
      <c r="F24" s="14" t="n">
        <f aca="false">D24+E24</f>
        <v>1305.82838058472</v>
      </c>
      <c r="G24" s="14" t="n">
        <f aca="false">$F$11</f>
        <v>177.92</v>
      </c>
      <c r="H24" s="15" t="n">
        <f aca="false">F24-G24</f>
        <v>1127.90838058472</v>
      </c>
      <c r="I24" s="14" t="n">
        <f aca="false">I23+H24</f>
        <v>5709.94190292358</v>
      </c>
      <c r="J24" s="12" t="n">
        <f aca="false">IF(H24&gt;0,1,0)</f>
        <v>1</v>
      </c>
    </row>
    <row r="25" customFormat="false" ht="15" hidden="false" customHeight="false" outlineLevel="0" collapsed="false">
      <c r="A25" s="12" t="n">
        <f aca="false">A24+1</f>
        <v>11</v>
      </c>
      <c r="B25" s="13" t="n">
        <f aca="false">MIN($C$7,B24*(1+$C$6))</f>
        <v>4656.61287307739</v>
      </c>
      <c r="C25" s="13" t="n">
        <f aca="false">B25*$C$8</f>
        <v>139.698386192322</v>
      </c>
      <c r="D25" s="14" t="n">
        <f aca="false">C25*$C$9</f>
        <v>1257.2854757309</v>
      </c>
      <c r="E25" s="14" t="n">
        <f aca="false">$C$10*$C$11</f>
        <v>300</v>
      </c>
      <c r="F25" s="14" t="n">
        <f aca="false">D25+E25</f>
        <v>1557.2854757309</v>
      </c>
      <c r="G25" s="14" t="n">
        <f aca="false">$F$11</f>
        <v>177.92</v>
      </c>
      <c r="H25" s="15" t="n">
        <f aca="false">F25-G25</f>
        <v>1379.3654757309</v>
      </c>
      <c r="I25" s="14" t="n">
        <f aca="false">I24+H25</f>
        <v>7089.30737865448</v>
      </c>
      <c r="J25" s="12" t="n">
        <f aca="false">IF(H25&gt;0,1,0)</f>
        <v>1</v>
      </c>
    </row>
    <row r="26" customFormat="false" ht="15" hidden="false" customHeight="false" outlineLevel="0" collapsed="false">
      <c r="A26" s="12" t="n">
        <f aca="false">A25+1</f>
        <v>12</v>
      </c>
      <c r="B26" s="13" t="n">
        <f aca="false">MIN($C$7,B25*(1+$C$6))</f>
        <v>5820.76609134674</v>
      </c>
      <c r="C26" s="13" t="n">
        <f aca="false">B26*$C$8</f>
        <v>174.622982740402</v>
      </c>
      <c r="D26" s="14" t="n">
        <f aca="false">C26*$C$9</f>
        <v>1571.60684466362</v>
      </c>
      <c r="E26" s="14" t="n">
        <f aca="false">$C$10*$C$11</f>
        <v>300</v>
      </c>
      <c r="F26" s="14" t="n">
        <f aca="false">D26+E26</f>
        <v>1871.60684466362</v>
      </c>
      <c r="G26" s="14" t="n">
        <f aca="false">$F$11</f>
        <v>177.92</v>
      </c>
      <c r="H26" s="15" t="n">
        <f aca="false">F26-G26</f>
        <v>1693.68684466362</v>
      </c>
      <c r="I26" s="14" t="n">
        <f aca="false">I25+H26</f>
        <v>8782.9942233181</v>
      </c>
      <c r="J26" s="12" t="n">
        <f aca="false">IF(H26&gt;0,1,0)</f>
        <v>1</v>
      </c>
    </row>
    <row r="29" customFormat="false" ht="15" hidden="false" customHeight="false" outlineLevel="0" collapsed="false">
      <c r="A29" s="3" t="s">
        <v>29</v>
      </c>
      <c r="B29" s="3"/>
      <c r="C29" s="3"/>
    </row>
    <row r="30" customFormat="false" ht="15" hidden="false" customHeight="false" outlineLevel="0" collapsed="false">
      <c r="A30" s="9" t="s">
        <v>30</v>
      </c>
      <c r="C30" s="16" t="n">
        <f aca="false">F26</f>
        <v>1871.60684466362</v>
      </c>
    </row>
    <row r="31" customFormat="false" ht="15" hidden="false" customHeight="false" outlineLevel="0" collapsed="false">
      <c r="A31" s="9" t="s">
        <v>31</v>
      </c>
      <c r="C31" s="16" t="n">
        <f aca="false">H26</f>
        <v>1693.68684466362</v>
      </c>
    </row>
    <row r="32" customFormat="false" ht="15" hidden="false" customHeight="false" outlineLevel="0" collapsed="false">
      <c r="A32" s="9" t="s">
        <v>32</v>
      </c>
      <c r="C32" s="17" t="n">
        <f aca="false">IFERROR(MATCH(1,J15:J26,0),"—")</f>
        <v>1</v>
      </c>
    </row>
    <row r="33" customFormat="false" ht="15" hidden="false" customHeight="false" outlineLevel="0" collapsed="false">
      <c r="A33" s="9" t="s">
        <v>33</v>
      </c>
      <c r="C33" s="16" t="n">
        <f aca="false">I26</f>
        <v>8782.9942233181</v>
      </c>
    </row>
  </sheetData>
  <mergeCells count="4">
    <mergeCell ref="A4:C4"/>
    <mergeCell ref="E4:F4"/>
    <mergeCell ref="A13:J13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11" t="s">
        <v>36</v>
      </c>
      <c r="B4" s="11" t="s">
        <v>37</v>
      </c>
      <c r="C4" s="11" t="s">
        <v>38</v>
      </c>
      <c r="D4" s="11" t="s">
        <v>39</v>
      </c>
    </row>
    <row r="5" customFormat="false" ht="15" hidden="false" customHeight="false" outlineLevel="0" collapsed="false">
      <c r="A5" s="4" t="s">
        <v>40</v>
      </c>
      <c r="B5" s="5" t="n">
        <v>300</v>
      </c>
      <c r="C5" s="5" t="n">
        <v>500</v>
      </c>
      <c r="D5" s="5" t="n">
        <v>800</v>
      </c>
    </row>
    <row r="6" customFormat="false" ht="15" hidden="false" customHeight="false" outlineLevel="0" collapsed="false">
      <c r="A6" s="4" t="s">
        <v>6</v>
      </c>
      <c r="B6" s="7" t="n">
        <v>0.15</v>
      </c>
      <c r="C6" s="7" t="n">
        <v>0.25</v>
      </c>
      <c r="D6" s="7" t="n">
        <v>0.35</v>
      </c>
    </row>
    <row r="7" customFormat="false" ht="15" hidden="false" customHeight="false" outlineLevel="0" collapsed="false">
      <c r="A7" s="4" t="s">
        <v>8</v>
      </c>
      <c r="B7" s="5" t="n">
        <v>3000</v>
      </c>
      <c r="C7" s="5" t="n">
        <v>8000</v>
      </c>
      <c r="D7" s="5" t="n">
        <v>20000</v>
      </c>
    </row>
    <row r="8" customFormat="false" ht="15" hidden="false" customHeight="false" outlineLevel="0" collapsed="false">
      <c r="A8" s="4" t="s">
        <v>10</v>
      </c>
      <c r="B8" s="7" t="n">
        <v>0.025</v>
      </c>
      <c r="C8" s="7" t="n">
        <v>0.03</v>
      </c>
      <c r="D8" s="7" t="n">
        <v>0.04</v>
      </c>
    </row>
    <row r="9" customFormat="false" ht="15" hidden="false" customHeight="false" outlineLevel="0" collapsed="false">
      <c r="A9" s="4" t="s">
        <v>41</v>
      </c>
      <c r="B9" s="8" t="n">
        <v>8</v>
      </c>
      <c r="C9" s="8" t="n">
        <v>9</v>
      </c>
      <c r="D9" s="8" t="n">
        <v>10</v>
      </c>
    </row>
    <row r="10" customFormat="false" ht="15" hidden="false" customHeight="false" outlineLevel="0" collapsed="false">
      <c r="A10" s="4" t="s">
        <v>42</v>
      </c>
      <c r="B10" s="5" t="n">
        <v>0</v>
      </c>
      <c r="C10" s="5" t="n">
        <v>1</v>
      </c>
      <c r="D10" s="5" t="n">
        <v>3</v>
      </c>
    </row>
    <row r="11" customFormat="false" ht="15" hidden="false" customHeight="false" outlineLevel="0" collapsed="false">
      <c r="A11" s="4" t="s">
        <v>43</v>
      </c>
      <c r="B11" s="8" t="n">
        <v>300</v>
      </c>
      <c r="C11" s="8" t="n">
        <v>300</v>
      </c>
      <c r="D11" s="8" t="n">
        <v>350</v>
      </c>
    </row>
    <row r="12" customFormat="false" ht="15" hidden="false" customHeight="false" outlineLevel="0" collapsed="false">
      <c r="A12" s="4" t="s">
        <v>44</v>
      </c>
      <c r="B12" s="8" t="n">
        <v>150</v>
      </c>
      <c r="C12" s="8" t="n">
        <v>178</v>
      </c>
      <c r="D12" s="8" t="n">
        <v>250</v>
      </c>
    </row>
    <row r="13" customFormat="false" ht="15" hidden="false" customHeight="false" outlineLevel="0" collapsed="false">
      <c r="A13" s="4" t="s">
        <v>45</v>
      </c>
      <c r="B13" s="13" t="n">
        <f aca="false">MIN(B7,B5*(1+B6)^11)</f>
        <v>1395.71741881923</v>
      </c>
      <c r="C13" s="13" t="n">
        <f aca="false">MIN(C7,C5*(1+C6)^11)</f>
        <v>5820.76609134674</v>
      </c>
      <c r="D13" s="13" t="n">
        <f aca="false">MIN(D7,D5*(1+D6)^11)</f>
        <v>20000</v>
      </c>
    </row>
    <row r="14" customFormat="false" ht="15" hidden="false" customHeight="false" outlineLevel="0" collapsed="false">
      <c r="A14" s="4" t="s">
        <v>46</v>
      </c>
      <c r="B14" s="13" t="n">
        <f aca="false">B13*B8</f>
        <v>34.8929354704807</v>
      </c>
      <c r="C14" s="13" t="n">
        <f aca="false">C13*C8</f>
        <v>174.622982740402</v>
      </c>
      <c r="D14" s="13" t="n">
        <f aca="false">D13*D8</f>
        <v>800</v>
      </c>
    </row>
    <row r="15" customFormat="false" ht="15" hidden="false" customHeight="false" outlineLevel="0" collapsed="false">
      <c r="A15" s="4" t="s">
        <v>47</v>
      </c>
      <c r="B15" s="14" t="n">
        <f aca="false">B14*B9</f>
        <v>279.143483763846</v>
      </c>
      <c r="C15" s="14" t="n">
        <f aca="false">C14*C9</f>
        <v>1571.60684466362</v>
      </c>
      <c r="D15" s="14" t="n">
        <f aca="false">D14*D9</f>
        <v>8000</v>
      </c>
    </row>
    <row r="16" customFormat="false" ht="15" hidden="false" customHeight="false" outlineLevel="0" collapsed="false">
      <c r="A16" s="4" t="s">
        <v>48</v>
      </c>
      <c r="B16" s="14" t="n">
        <f aca="false">B10*B11</f>
        <v>0</v>
      </c>
      <c r="C16" s="14" t="n">
        <f aca="false">C10*C11</f>
        <v>300</v>
      </c>
      <c r="D16" s="14" t="n">
        <f aca="false">D10*D11</f>
        <v>1050</v>
      </c>
    </row>
    <row r="17" customFormat="false" ht="15" hidden="false" customHeight="false" outlineLevel="0" collapsed="false">
      <c r="A17" s="4" t="s">
        <v>49</v>
      </c>
      <c r="B17" s="14" t="n">
        <f aca="false">B15+B16</f>
        <v>279.143483763846</v>
      </c>
      <c r="C17" s="14" t="n">
        <f aca="false">C15+C16</f>
        <v>1871.60684466362</v>
      </c>
      <c r="D17" s="14" t="n">
        <f aca="false">D15+D16</f>
        <v>9050</v>
      </c>
    </row>
    <row r="18" customFormat="false" ht="15" hidden="false" customHeight="false" outlineLevel="0" collapsed="false">
      <c r="A18" s="4" t="s">
        <v>50</v>
      </c>
      <c r="B18" s="14" t="n">
        <f aca="false">B12</f>
        <v>150</v>
      </c>
      <c r="C18" s="14" t="n">
        <f aca="false">C12</f>
        <v>178</v>
      </c>
      <c r="D18" s="14" t="n">
        <f aca="false">D12</f>
        <v>250</v>
      </c>
    </row>
    <row r="19" customFormat="false" ht="15" hidden="false" customHeight="false" outlineLevel="0" collapsed="false">
      <c r="A19" s="9" t="s">
        <v>51</v>
      </c>
      <c r="B19" s="16" t="n">
        <f aca="false">B17-B18</f>
        <v>129.143483763846</v>
      </c>
      <c r="C19" s="16" t="n">
        <f aca="false">C17-C18</f>
        <v>1693.60684466362</v>
      </c>
      <c r="D19" s="16" t="n">
        <f aca="false">D17-D18</f>
        <v>8800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52</v>
      </c>
    </row>
    <row r="2" customFormat="false" ht="15" hidden="false" customHeight="false" outlineLevel="0" collapsed="false">
      <c r="A2" s="18" t="s">
        <v>53</v>
      </c>
    </row>
    <row r="3" customFormat="false" ht="15" hidden="false" customHeight="false" outlineLevel="0" collapsed="false">
      <c r="A3" s="18" t="s">
        <v>54</v>
      </c>
    </row>
    <row r="4" customFormat="false" ht="15" hidden="false" customHeight="false" outlineLevel="0" collapsed="false">
      <c r="A4" s="18" t="s">
        <v>55</v>
      </c>
    </row>
    <row r="5" customFormat="false" ht="15" hidden="false" customHeight="false" outlineLevel="0" collapsed="false">
      <c r="A5" s="18"/>
    </row>
    <row r="6" customFormat="false" ht="15" hidden="false" customHeight="false" outlineLevel="0" collapsed="false">
      <c r="A6" s="19" t="s">
        <v>56</v>
      </c>
    </row>
    <row r="7" customFormat="false" ht="15" hidden="false" customHeight="false" outlineLevel="0" collapsed="false">
      <c r="A7" s="18" t="s">
        <v>57</v>
      </c>
    </row>
    <row r="8" customFormat="false" ht="15" hidden="false" customHeight="false" outlineLevel="0" collapsed="false">
      <c r="A8" s="18" t="s">
        <v>58</v>
      </c>
    </row>
    <row r="9" customFormat="false" ht="15" hidden="false" customHeight="false" outlineLevel="0" collapsed="false">
      <c r="A9" s="18" t="s">
        <v>59</v>
      </c>
    </row>
    <row r="10" customFormat="false" ht="15" hidden="false" customHeight="false" outlineLevel="0" collapsed="false">
      <c r="A10" s="18" t="s">
        <v>60</v>
      </c>
    </row>
    <row r="11" customFormat="false" ht="15" hidden="false" customHeight="false" outlineLevel="0" collapsed="false">
      <c r="A11" s="18"/>
    </row>
    <row r="12" customFormat="false" ht="15" hidden="false" customHeight="false" outlineLevel="0" collapsed="false">
      <c r="A12" s="19" t="s">
        <v>61</v>
      </c>
    </row>
    <row r="13" customFormat="false" ht="15" hidden="false" customHeight="false" outlineLevel="0" collapsed="false">
      <c r="A13" s="18" t="s">
        <v>62</v>
      </c>
    </row>
    <row r="14" customFormat="false" ht="15" hidden="false" customHeight="false" outlineLevel="0" collapsed="false">
      <c r="A14" s="18" t="s">
        <v>63</v>
      </c>
    </row>
    <row r="15" customFormat="false" ht="15" hidden="false" customHeight="false" outlineLevel="0" collapsed="false">
      <c r="A15" s="18"/>
    </row>
    <row r="16" customFormat="false" ht="15" hidden="false" customHeight="false" outlineLevel="0" collapsed="false">
      <c r="A16" s="19" t="s">
        <v>64</v>
      </c>
    </row>
    <row r="17" customFormat="false" ht="15" hidden="false" customHeight="false" outlineLevel="0" collapsed="false">
      <c r="A17" s="18" t="s">
        <v>65</v>
      </c>
    </row>
    <row r="18" customFormat="false" ht="15" hidden="false" customHeight="false" outlineLevel="0" collapsed="false">
      <c r="A18" s="18" t="s">
        <v>66</v>
      </c>
    </row>
    <row r="19" customFormat="false" ht="15" hidden="false" customHeight="false" outlineLevel="0" collapsed="false">
      <c r="A19" s="18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2026-08-16T05:04:28Z</dcterms:created>
  <dc:creator>openpyxl</dc:creator>
  <dc:description/>
  <dc:language>en-US</dc:language>
  <cp:lastModifiedBy/>
  <dcterms:modified xsi:type="dcterms:W3CDTF">2026-08-16T05:04:31Z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